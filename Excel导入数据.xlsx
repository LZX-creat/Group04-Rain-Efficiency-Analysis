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676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<sst xmlns="http://schemas.openxmlformats.org/spreadsheetml/2006/main" count="56" uniqueCount="34">
  <si>
    <t>灌水定额m3/m2</t>
  </si>
  <si>
    <t>绿地面积</t>
  </si>
  <si>
    <t>时段</t>
  </si>
  <si>
    <r>
      <rPr>
        <b/>
        <sz val="11"/>
        <color theme="1"/>
        <rFont val="宋体"/>
        <charset val="134"/>
        <scheme val="minor"/>
      </rPr>
      <t>灌水定额m</t>
    </r>
    <r>
      <rPr>
        <b/>
        <vertAlign val="superscript"/>
        <sz val="11"/>
        <color theme="1"/>
        <rFont val="宋体"/>
        <charset val="134"/>
        <scheme val="minor"/>
      </rPr>
      <t>3</t>
    </r>
    <r>
      <rPr>
        <b/>
        <sz val="11"/>
        <color theme="1"/>
        <rFont val="宋体"/>
        <charset val="134"/>
        <scheme val="minor"/>
      </rPr>
      <t>/m</t>
    </r>
    <r>
      <rPr>
        <b/>
        <vertAlign val="superscript"/>
        <sz val="11"/>
        <color theme="1"/>
        <rFont val="宋体"/>
        <charset val="134"/>
        <scheme val="minor"/>
      </rPr>
      <t>2</t>
    </r>
  </si>
  <si>
    <t>灌溉次数</t>
  </si>
  <si>
    <t>灌水周期d</t>
  </si>
  <si>
    <r>
      <rPr>
        <b/>
        <sz val="11"/>
        <color theme="1"/>
        <rFont val="宋体"/>
        <charset val="134"/>
        <scheme val="minor"/>
      </rPr>
      <t>日需水量m</t>
    </r>
    <r>
      <rPr>
        <b/>
        <vertAlign val="superscript"/>
        <sz val="11"/>
        <color theme="1"/>
        <rFont val="宋体"/>
        <charset val="134"/>
        <scheme val="minor"/>
      </rPr>
      <t>3</t>
    </r>
    <r>
      <rPr>
        <b/>
        <sz val="11"/>
        <color theme="1"/>
        <rFont val="宋体"/>
        <charset val="134"/>
        <scheme val="minor"/>
      </rPr>
      <t>/d</t>
    </r>
  </si>
  <si>
    <t>3月</t>
  </si>
  <si>
    <t>0.015-0.025</t>
  </si>
  <si>
    <t>15-20</t>
  </si>
  <si>
    <t>4月</t>
  </si>
  <si>
    <t>6-8</t>
  </si>
  <si>
    <t>5月</t>
  </si>
  <si>
    <t>4-5</t>
  </si>
  <si>
    <t>6月</t>
  </si>
  <si>
    <t>5-6</t>
  </si>
  <si>
    <t>7月</t>
  </si>
  <si>
    <t>10-15</t>
  </si>
  <si>
    <t>8月</t>
  </si>
  <si>
    <t>9月</t>
  </si>
  <si>
    <t>8-10</t>
  </si>
  <si>
    <t>10月</t>
  </si>
  <si>
    <t>11月</t>
  </si>
  <si>
    <t>根据降雨量计算</t>
  </si>
  <si>
    <t>根据所需水量计算</t>
  </si>
  <si>
    <r>
      <rPr>
        <b/>
        <sz val="11"/>
        <color theme="1"/>
        <rFont val="宋体"/>
        <charset val="134"/>
        <scheme val="minor"/>
      </rPr>
      <t>雨水桶体积
（雨水回用时间5日）m</t>
    </r>
    <r>
      <rPr>
        <b/>
        <vertAlign val="superscript"/>
        <sz val="11"/>
        <color theme="1"/>
        <rFont val="宋体"/>
        <charset val="134"/>
        <scheme val="minor"/>
      </rPr>
      <t>3</t>
    </r>
  </si>
  <si>
    <r>
      <rPr>
        <b/>
        <sz val="11"/>
        <color theme="1"/>
        <rFont val="宋体"/>
        <charset val="134"/>
        <scheme val="minor"/>
      </rPr>
      <t>雨水桶体积
（雨水回用时间8日）m</t>
    </r>
    <r>
      <rPr>
        <b/>
        <vertAlign val="superscript"/>
        <sz val="11"/>
        <color theme="1"/>
        <rFont val="宋体"/>
        <charset val="134"/>
        <scheme val="minor"/>
      </rPr>
      <t>3</t>
    </r>
  </si>
  <si>
    <r>
      <rPr>
        <b/>
        <sz val="11"/>
        <color theme="1"/>
        <rFont val="宋体"/>
        <charset val="134"/>
        <scheme val="minor"/>
      </rPr>
      <t>雨水桶体积
（雨水回用时间10日）m</t>
    </r>
    <r>
      <rPr>
        <b/>
        <vertAlign val="superscript"/>
        <sz val="11"/>
        <color theme="1"/>
        <rFont val="宋体"/>
        <charset val="134"/>
        <scheme val="minor"/>
      </rPr>
      <t>3</t>
    </r>
  </si>
  <si>
    <t>年份</t>
  </si>
  <si>
    <t>总降雨量</t>
  </si>
  <si>
    <t>溢流量</t>
  </si>
  <si>
    <t>洗车用水</t>
  </si>
  <si>
    <t>浇灌用水</t>
  </si>
  <si>
    <t>雨水截留率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</si>
</sst>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0_ "/>
    <numFmt numFmtId="178" formatCode="0.000000000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zoomScale="130" zoomScaleNormal="130" topLeftCell="A22" workbookViewId="0">
      <selection activeCell="O11" sqref="O11"/>
    </sheetView>
  </sheetViews>
  <sheetFormatPr defaultColWidth="9" defaultRowHeight="16.8"/>
  <cols>
    <col min="6" max="6" width="6.875" customWidth="1"/>
    <col min="7" max="7" width="15" customWidth="1"/>
    <col min="8" max="9" width="5.875" customWidth="1"/>
    <col min="10" max="10" width="7.27884615384615" customWidth="1"/>
    <col min="11" max="12" width="15.125" customWidth="1"/>
    <col min="13" max="13" width="15.4326923076923" customWidth="1"/>
    <col min="15" max="15" width="15.3173076923077" customWidth="1"/>
    <col min="17" max="17" width="13.625"/>
    <col min="18" max="20" width="12.9230769230769" customWidth="1"/>
    <col min="22" max="22" width="17.2211538461538"/>
    <col min="24" max="24" width="10.0865384615385"/>
  </cols>
  <sheetData>
    <row r="1" spans="1:1">
      <c r="A1">
        <v>1</v>
      </c>
    </row>
    <row r="6" spans="8:8">
      <c r="H6">
        <f>10*40*0.02*0.9</f>
        <v>7.2</v>
      </c>
    </row>
    <row r="7" spans="8:8">
      <c r="H7">
        <f>8.4612*5*3/9</f>
        <v>14.102</v>
      </c>
    </row>
    <row r="10" spans="12:12">
      <c r="L10">
        <f>0.02*K12</f>
        <v>8.4612</v>
      </c>
    </row>
    <row r="11" spans="12:12">
      <c r="L11">
        <f>L10*4*3/9</f>
        <v>11.2816</v>
      </c>
    </row>
    <row r="12" spans="5:11">
      <c r="E12" t="s">
        <v>0</v>
      </c>
      <c r="G12">
        <v>0.02</v>
      </c>
      <c r="I12" t="s">
        <v>1</v>
      </c>
      <c r="K12">
        <v>423.06</v>
      </c>
    </row>
    <row r="15" s="1" customFormat="1" ht="51" spans="6:14">
      <c r="F15" s="2" t="s">
        <v>2</v>
      </c>
      <c r="G15" s="3" t="s">
        <v>3</v>
      </c>
      <c r="H15" s="3" t="s">
        <v>4</v>
      </c>
      <c r="I15" s="3" t="s">
        <v>5</v>
      </c>
      <c r="J15" s="3" t="s">
        <v>6</v>
      </c>
      <c r="K15" s="3"/>
      <c r="L15" s="3"/>
      <c r="M15" s="9"/>
      <c r="N15" s="10"/>
    </row>
    <row r="16" spans="6:14">
      <c r="F16" s="4" t="s">
        <v>7</v>
      </c>
      <c r="G16" s="5" t="s">
        <v>8</v>
      </c>
      <c r="H16" s="5">
        <v>1</v>
      </c>
      <c r="I16" s="6" t="s">
        <v>9</v>
      </c>
      <c r="J16" s="7">
        <f>$L$10/N16</f>
        <v>0.56408</v>
      </c>
      <c r="K16" s="7"/>
      <c r="L16" s="7"/>
      <c r="M16" s="11"/>
      <c r="N16" s="12">
        <v>15</v>
      </c>
    </row>
    <row r="17" spans="6:14">
      <c r="F17" s="4" t="s">
        <v>10</v>
      </c>
      <c r="G17" s="5" t="s">
        <v>8</v>
      </c>
      <c r="H17" s="5">
        <v>4</v>
      </c>
      <c r="I17" s="8" t="s">
        <v>11</v>
      </c>
      <c r="J17" s="7">
        <f t="shared" ref="J17:J24" si="0">$L$10/N17</f>
        <v>1.4102</v>
      </c>
      <c r="K17" s="7"/>
      <c r="L17" s="7"/>
      <c r="M17" s="11"/>
      <c r="N17" s="12">
        <v>6</v>
      </c>
    </row>
    <row r="18" spans="6:14">
      <c r="F18" s="4" t="s">
        <v>12</v>
      </c>
      <c r="G18" s="5" t="s">
        <v>8</v>
      </c>
      <c r="H18" s="5">
        <v>6</v>
      </c>
      <c r="I18" s="8" t="s">
        <v>13</v>
      </c>
      <c r="J18" s="7">
        <f t="shared" si="0"/>
        <v>2.1153</v>
      </c>
      <c r="K18" s="7"/>
      <c r="L18" s="7"/>
      <c r="M18" s="11"/>
      <c r="N18" s="12">
        <v>4</v>
      </c>
    </row>
    <row r="19" spans="6:14">
      <c r="F19" s="4" t="s">
        <v>14</v>
      </c>
      <c r="G19" s="5" t="s">
        <v>8</v>
      </c>
      <c r="H19" s="5">
        <v>5</v>
      </c>
      <c r="I19" s="8" t="s">
        <v>15</v>
      </c>
      <c r="J19" s="7">
        <f t="shared" si="0"/>
        <v>1.69224</v>
      </c>
      <c r="K19" s="7"/>
      <c r="L19" s="7"/>
      <c r="M19" s="11"/>
      <c r="N19" s="12">
        <v>5</v>
      </c>
    </row>
    <row r="20" spans="6:17">
      <c r="F20" s="4" t="s">
        <v>16</v>
      </c>
      <c r="G20" s="5" t="s">
        <v>8</v>
      </c>
      <c r="H20" s="5">
        <v>2</v>
      </c>
      <c r="I20" s="8" t="s">
        <v>17</v>
      </c>
      <c r="J20" s="7">
        <f t="shared" si="0"/>
        <v>0.84612</v>
      </c>
      <c r="K20" s="7"/>
      <c r="L20" s="7"/>
      <c r="M20" s="11"/>
      <c r="N20" s="12">
        <v>10</v>
      </c>
      <c r="O20" s="13">
        <f>SUM(J17:J22)*1000/86400/6</f>
        <v>0.0153696566358025</v>
      </c>
      <c r="P20" s="14"/>
      <c r="Q20" s="20">
        <f>O20*86400</f>
        <v>1327.93833333333</v>
      </c>
    </row>
    <row r="21" spans="6:17">
      <c r="F21" s="4" t="s">
        <v>18</v>
      </c>
      <c r="G21" s="5" t="s">
        <v>8</v>
      </c>
      <c r="H21" s="5">
        <v>2</v>
      </c>
      <c r="I21" s="8" t="s">
        <v>17</v>
      </c>
      <c r="J21" s="7">
        <f t="shared" si="0"/>
        <v>0.84612</v>
      </c>
      <c r="K21" s="7"/>
      <c r="L21" s="7"/>
      <c r="M21" s="11"/>
      <c r="N21" s="12">
        <v>10</v>
      </c>
      <c r="O21" s="14">
        <v>120</v>
      </c>
      <c r="P21" s="14">
        <v>6</v>
      </c>
      <c r="Q21" s="20">
        <f>O21*P21</f>
        <v>720</v>
      </c>
    </row>
    <row r="22" spans="6:17">
      <c r="F22" s="4" t="s">
        <v>19</v>
      </c>
      <c r="G22" s="5" t="s">
        <v>8</v>
      </c>
      <c r="H22" s="5">
        <v>3</v>
      </c>
      <c r="I22" s="8" t="s">
        <v>20</v>
      </c>
      <c r="J22" s="7">
        <f t="shared" si="0"/>
        <v>1.05765</v>
      </c>
      <c r="K22" s="7"/>
      <c r="L22" s="7"/>
      <c r="M22" s="11"/>
      <c r="N22" s="12">
        <v>8</v>
      </c>
      <c r="O22" s="15">
        <f>O21*P21/86400</f>
        <v>0.00833333333333333</v>
      </c>
      <c r="P22" s="14"/>
      <c r="Q22" s="20"/>
    </row>
    <row r="23" spans="6:14">
      <c r="F23" s="4" t="s">
        <v>21</v>
      </c>
      <c r="G23" s="5" t="s">
        <v>8</v>
      </c>
      <c r="H23" s="5">
        <v>1</v>
      </c>
      <c r="I23" s="6" t="s">
        <v>9</v>
      </c>
      <c r="J23" s="7">
        <f t="shared" si="0"/>
        <v>0.56408</v>
      </c>
      <c r="K23" s="7"/>
      <c r="L23" s="7"/>
      <c r="M23" s="11"/>
      <c r="N23" s="12">
        <v>15</v>
      </c>
    </row>
    <row r="24" spans="6:14">
      <c r="F24" s="4" t="s">
        <v>22</v>
      </c>
      <c r="G24" s="5" t="s">
        <v>8</v>
      </c>
      <c r="H24" s="5">
        <v>1</v>
      </c>
      <c r="I24" s="6" t="s">
        <v>9</v>
      </c>
      <c r="J24" s="7">
        <f t="shared" si="0"/>
        <v>0.56408</v>
      </c>
      <c r="K24" s="7"/>
      <c r="L24" s="7"/>
      <c r="M24" s="11"/>
      <c r="N24" s="12">
        <v>15</v>
      </c>
    </row>
    <row r="26" spans="15:15">
      <c r="O26" t="s">
        <v>23</v>
      </c>
    </row>
    <row r="27" spans="15:24">
      <c r="O27" s="16" t="s">
        <v>24</v>
      </c>
      <c r="P27" s="16"/>
      <c r="Q27" s="16"/>
      <c r="R27" s="16"/>
      <c r="S27" s="16"/>
      <c r="T27" s="16"/>
      <c r="U27" s="16"/>
      <c r="V27" s="16"/>
      <c r="W27" s="16"/>
      <c r="X27" s="16"/>
    </row>
    <row r="28" ht="68" spans="15:24">
      <c r="O28" s="16"/>
      <c r="P28" s="2" t="s">
        <v>2</v>
      </c>
      <c r="Q28" s="3" t="s">
        <v>6</v>
      </c>
      <c r="R28" s="3" t="s">
        <v>25</v>
      </c>
      <c r="S28" s="3" t="s">
        <v>26</v>
      </c>
      <c r="T28" s="9" t="s">
        <v>27</v>
      </c>
      <c r="U28" s="24"/>
      <c r="V28" s="24"/>
      <c r="W28" s="24"/>
      <c r="X28" s="24"/>
    </row>
    <row r="29" spans="15:24">
      <c r="O29" s="16"/>
      <c r="P29" s="17" t="s">
        <v>7</v>
      </c>
      <c r="Q29" s="7">
        <v>0.56408</v>
      </c>
      <c r="R29" s="21">
        <v>2.8204</v>
      </c>
      <c r="S29" s="21">
        <v>4.51264</v>
      </c>
      <c r="T29" s="22">
        <v>5.6408</v>
      </c>
      <c r="U29" s="14"/>
      <c r="V29" s="14"/>
      <c r="W29" s="14"/>
      <c r="X29" s="20"/>
    </row>
    <row r="30" spans="15:24">
      <c r="O30" s="16"/>
      <c r="P30" s="18" t="s">
        <v>10</v>
      </c>
      <c r="Q30" s="7">
        <v>5.6408</v>
      </c>
      <c r="R30" s="7">
        <v>28.204</v>
      </c>
      <c r="S30" s="7">
        <v>45.1264</v>
      </c>
      <c r="T30" s="11">
        <v>56.408</v>
      </c>
      <c r="U30" s="14"/>
      <c r="V30" s="14"/>
      <c r="W30" s="14"/>
      <c r="X30" s="20"/>
    </row>
    <row r="31" spans="15:21">
      <c r="O31" s="16"/>
      <c r="P31" s="4" t="s">
        <v>12</v>
      </c>
      <c r="Q31" s="7">
        <v>12.6918</v>
      </c>
      <c r="R31" s="7">
        <v>63.459</v>
      </c>
      <c r="S31" s="7">
        <v>101.5344</v>
      </c>
      <c r="T31" s="11">
        <v>126.918</v>
      </c>
      <c r="U31" s="14"/>
    </row>
    <row r="32" spans="15:21">
      <c r="O32" s="16"/>
      <c r="P32" s="4" t="s">
        <v>14</v>
      </c>
      <c r="Q32" s="7">
        <v>8.4612</v>
      </c>
      <c r="R32" s="7">
        <v>42.306</v>
      </c>
      <c r="S32" s="7">
        <v>67.6896</v>
      </c>
      <c r="T32" s="11">
        <v>84.612</v>
      </c>
      <c r="U32" s="14"/>
    </row>
    <row r="33" spans="15:21">
      <c r="O33" s="16"/>
      <c r="P33" s="19" t="s">
        <v>16</v>
      </c>
      <c r="Q33" s="7">
        <v>1.69224</v>
      </c>
      <c r="R33" s="23">
        <v>8.4612</v>
      </c>
      <c r="S33" s="7">
        <v>13.53792</v>
      </c>
      <c r="T33" s="11">
        <v>16.9224</v>
      </c>
      <c r="U33" s="14"/>
    </row>
    <row r="34" spans="15:24">
      <c r="O34" s="16"/>
      <c r="P34" s="19" t="s">
        <v>18</v>
      </c>
      <c r="Q34" s="7">
        <v>1.69224</v>
      </c>
      <c r="R34" s="23">
        <v>8.4612</v>
      </c>
      <c r="S34" s="7">
        <v>13.53792</v>
      </c>
      <c r="T34" s="11">
        <v>16.9224</v>
      </c>
      <c r="U34" s="14"/>
      <c r="V34" s="14"/>
      <c r="W34" s="14"/>
      <c r="X34" s="20"/>
    </row>
    <row r="35" spans="15:24">
      <c r="O35" s="16"/>
      <c r="P35" s="4" t="s">
        <v>19</v>
      </c>
      <c r="Q35" s="7">
        <v>3.17295</v>
      </c>
      <c r="R35" s="7">
        <v>15.86475</v>
      </c>
      <c r="S35" s="7">
        <v>25.3836</v>
      </c>
      <c r="T35" s="11">
        <v>31.7295</v>
      </c>
      <c r="U35" s="14"/>
      <c r="V35" s="14"/>
      <c r="W35" s="14"/>
      <c r="X35" s="20"/>
    </row>
    <row r="36" spans="15:24">
      <c r="O36" s="16"/>
      <c r="P36" s="17" t="s">
        <v>21</v>
      </c>
      <c r="Q36" s="7">
        <v>0.56408</v>
      </c>
      <c r="R36" s="21">
        <v>2.8204</v>
      </c>
      <c r="S36" s="21">
        <v>4.51264</v>
      </c>
      <c r="T36" s="22">
        <v>5.6408</v>
      </c>
      <c r="U36" s="14"/>
      <c r="V36" s="14"/>
      <c r="W36" s="14"/>
      <c r="X36" s="20"/>
    </row>
    <row r="37" spans="15:24">
      <c r="O37" s="16"/>
      <c r="P37" s="17" t="s">
        <v>22</v>
      </c>
      <c r="Q37" s="7">
        <v>0.56408</v>
      </c>
      <c r="R37" s="21">
        <v>2.8204</v>
      </c>
      <c r="S37" s="21">
        <v>4.51264</v>
      </c>
      <c r="T37" s="22">
        <v>5.6408</v>
      </c>
      <c r="U37" s="14"/>
      <c r="V37" s="14"/>
      <c r="W37" s="14"/>
      <c r="X37" s="20"/>
    </row>
    <row r="38" spans="15:24">
      <c r="O38" s="16"/>
      <c r="P38" s="16"/>
      <c r="Q38" s="16"/>
      <c r="R38" s="16"/>
      <c r="S38" s="16"/>
      <c r="T38" s="16"/>
      <c r="U38" s="16"/>
      <c r="V38" s="16"/>
      <c r="W38" s="16"/>
      <c r="X38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F1" sqref="F$1:F$1048576"/>
    </sheetView>
  </sheetViews>
  <sheetFormatPr defaultColWidth="8.89423076923077" defaultRowHeight="16.8" outlineLevelCol="5"/>
  <cols>
    <col min="6" max="6" width="12.9230769230769"/>
  </cols>
  <sheetData>
    <row r="1" spans="1:6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>
      <c r="A2">
        <v>1987</v>
      </c>
      <c r="B2">
        <v>122</v>
      </c>
      <c r="C2">
        <v>13</v>
      </c>
      <c r="D2">
        <v>28</v>
      </c>
      <c r="E2">
        <v>81</v>
      </c>
      <c r="F2">
        <f>SUM(1-(C:C/B:B))</f>
        <v>0.89344262295082</v>
      </c>
    </row>
    <row r="3" spans="1:6">
      <c r="A3">
        <v>1988</v>
      </c>
      <c r="B3">
        <v>130</v>
      </c>
      <c r="C3">
        <v>23</v>
      </c>
      <c r="D3">
        <v>27</v>
      </c>
      <c r="E3">
        <v>80</v>
      </c>
      <c r="F3">
        <f t="shared" ref="F3:F31" si="0">SUM(1-(C:C/B:B))</f>
        <v>0.823076923076923</v>
      </c>
    </row>
    <row r="4" spans="1:6">
      <c r="A4">
        <v>1989</v>
      </c>
      <c r="B4">
        <v>84</v>
      </c>
      <c r="C4">
        <v>3</v>
      </c>
      <c r="D4">
        <v>20</v>
      </c>
      <c r="E4">
        <v>61</v>
      </c>
      <c r="F4">
        <f t="shared" si="0"/>
        <v>0.964285714285714</v>
      </c>
    </row>
    <row r="5" spans="1:6">
      <c r="A5">
        <v>1990</v>
      </c>
      <c r="B5">
        <v>120</v>
      </c>
      <c r="C5">
        <v>29</v>
      </c>
      <c r="D5">
        <v>22</v>
      </c>
      <c r="E5">
        <v>69</v>
      </c>
      <c r="F5">
        <f t="shared" si="0"/>
        <v>0.758333333333333</v>
      </c>
    </row>
    <row r="6" spans="1:6">
      <c r="A6">
        <v>1991</v>
      </c>
      <c r="B6">
        <v>141</v>
      </c>
      <c r="C6">
        <v>33</v>
      </c>
      <c r="D6">
        <v>28</v>
      </c>
      <c r="E6">
        <v>80</v>
      </c>
      <c r="F6">
        <f t="shared" si="0"/>
        <v>0.765957446808511</v>
      </c>
    </row>
    <row r="7" spans="1:6">
      <c r="A7">
        <v>1992</v>
      </c>
      <c r="B7">
        <v>105</v>
      </c>
      <c r="C7">
        <v>12</v>
      </c>
      <c r="D7">
        <v>21</v>
      </c>
      <c r="E7">
        <v>72</v>
      </c>
      <c r="F7">
        <f t="shared" si="0"/>
        <v>0.885714285714286</v>
      </c>
    </row>
    <row r="8" spans="1:6">
      <c r="A8">
        <v>1993</v>
      </c>
      <c r="B8">
        <v>90</v>
      </c>
      <c r="C8">
        <v>11</v>
      </c>
      <c r="D8">
        <v>20</v>
      </c>
      <c r="E8">
        <v>59</v>
      </c>
      <c r="F8">
        <f t="shared" si="0"/>
        <v>0.877777777777778</v>
      </c>
    </row>
    <row r="9" spans="1:6">
      <c r="A9">
        <v>1994</v>
      </c>
      <c r="B9">
        <v>158</v>
      </c>
      <c r="C9">
        <v>57</v>
      </c>
      <c r="D9">
        <v>28</v>
      </c>
      <c r="E9">
        <v>73</v>
      </c>
      <c r="F9">
        <f t="shared" si="0"/>
        <v>0.639240506329114</v>
      </c>
    </row>
    <row r="10" spans="1:6">
      <c r="A10">
        <v>1995</v>
      </c>
      <c r="B10">
        <v>111</v>
      </c>
      <c r="C10">
        <v>8</v>
      </c>
      <c r="D10">
        <v>26</v>
      </c>
      <c r="E10">
        <v>77</v>
      </c>
      <c r="F10">
        <f t="shared" si="0"/>
        <v>0.927927927927928</v>
      </c>
    </row>
    <row r="11" spans="1:6">
      <c r="A11">
        <v>1996</v>
      </c>
      <c r="B11">
        <v>132</v>
      </c>
      <c r="C11">
        <v>31</v>
      </c>
      <c r="D11">
        <v>26</v>
      </c>
      <c r="E11">
        <v>75</v>
      </c>
      <c r="F11">
        <f t="shared" si="0"/>
        <v>0.765151515151515</v>
      </c>
    </row>
    <row r="12" spans="1:6">
      <c r="A12">
        <v>1997</v>
      </c>
      <c r="B12">
        <v>80</v>
      </c>
      <c r="C12">
        <v>10</v>
      </c>
      <c r="D12">
        <v>16</v>
      </c>
      <c r="E12">
        <v>54</v>
      </c>
      <c r="F12">
        <f t="shared" si="0"/>
        <v>0.875</v>
      </c>
    </row>
    <row r="13" spans="1:6">
      <c r="A13">
        <v>1998</v>
      </c>
      <c r="B13">
        <v>138</v>
      </c>
      <c r="C13">
        <v>27</v>
      </c>
      <c r="D13">
        <v>27</v>
      </c>
      <c r="E13">
        <v>84</v>
      </c>
      <c r="F13">
        <f t="shared" si="0"/>
        <v>0.804347826086957</v>
      </c>
    </row>
    <row r="14" spans="1:6">
      <c r="A14">
        <v>1999</v>
      </c>
      <c r="B14">
        <v>47</v>
      </c>
      <c r="C14">
        <v>0</v>
      </c>
      <c r="D14">
        <v>8</v>
      </c>
      <c r="E14">
        <v>39</v>
      </c>
      <c r="F14">
        <f t="shared" si="0"/>
        <v>1</v>
      </c>
    </row>
    <row r="15" spans="1:6">
      <c r="A15">
        <v>2000</v>
      </c>
      <c r="B15">
        <v>65</v>
      </c>
      <c r="C15">
        <v>5</v>
      </c>
      <c r="D15">
        <v>14</v>
      </c>
      <c r="E15">
        <v>46</v>
      </c>
      <c r="F15">
        <f t="shared" si="0"/>
        <v>0.923076923076923</v>
      </c>
    </row>
    <row r="16" spans="1:6">
      <c r="A16">
        <v>2001</v>
      </c>
      <c r="B16">
        <v>57</v>
      </c>
      <c r="C16">
        <v>7</v>
      </c>
      <c r="D16">
        <v>11</v>
      </c>
      <c r="E16">
        <v>39</v>
      </c>
      <c r="F16">
        <f t="shared" si="0"/>
        <v>0.87719298245614</v>
      </c>
    </row>
    <row r="17" spans="1:6">
      <c r="A17">
        <v>2002</v>
      </c>
      <c r="B17">
        <v>72</v>
      </c>
      <c r="C17">
        <v>0</v>
      </c>
      <c r="D17">
        <v>17</v>
      </c>
      <c r="E17">
        <v>55</v>
      </c>
      <c r="F17">
        <f t="shared" si="0"/>
        <v>1</v>
      </c>
    </row>
    <row r="18" spans="1:6">
      <c r="A18">
        <v>2003</v>
      </c>
      <c r="B18">
        <v>70</v>
      </c>
      <c r="C18">
        <v>2</v>
      </c>
      <c r="D18">
        <v>14</v>
      </c>
      <c r="E18">
        <v>54</v>
      </c>
      <c r="F18">
        <f t="shared" si="0"/>
        <v>0.971428571428571</v>
      </c>
    </row>
    <row r="19" spans="1:6">
      <c r="A19">
        <v>2004</v>
      </c>
      <c r="B19">
        <v>91</v>
      </c>
      <c r="C19">
        <v>7</v>
      </c>
      <c r="D19">
        <v>16</v>
      </c>
      <c r="E19">
        <v>65</v>
      </c>
      <c r="F19">
        <f t="shared" si="0"/>
        <v>0.923076923076923</v>
      </c>
    </row>
    <row r="20" spans="1:6">
      <c r="A20">
        <v>2005</v>
      </c>
      <c r="B20">
        <v>75</v>
      </c>
      <c r="C20">
        <v>1</v>
      </c>
      <c r="D20">
        <v>18</v>
      </c>
      <c r="E20">
        <v>56</v>
      </c>
      <c r="F20">
        <f t="shared" si="0"/>
        <v>0.986666666666667</v>
      </c>
    </row>
    <row r="21" spans="1:6">
      <c r="A21">
        <v>2006</v>
      </c>
      <c r="B21">
        <v>60</v>
      </c>
      <c r="C21">
        <v>4</v>
      </c>
      <c r="D21">
        <v>12</v>
      </c>
      <c r="E21">
        <v>44</v>
      </c>
      <c r="F21">
        <f t="shared" si="0"/>
        <v>0.933333333333333</v>
      </c>
    </row>
    <row r="22" spans="1:6">
      <c r="A22">
        <v>2007</v>
      </c>
      <c r="B22">
        <v>88</v>
      </c>
      <c r="C22">
        <v>9</v>
      </c>
      <c r="D22">
        <v>19</v>
      </c>
      <c r="E22">
        <v>60</v>
      </c>
      <c r="F22">
        <f t="shared" si="0"/>
        <v>0.897727272727273</v>
      </c>
    </row>
    <row r="23" spans="1:6">
      <c r="A23">
        <v>2008</v>
      </c>
      <c r="B23">
        <v>125</v>
      </c>
      <c r="C23">
        <v>9</v>
      </c>
      <c r="D23">
        <v>29</v>
      </c>
      <c r="E23">
        <v>87</v>
      </c>
      <c r="F23">
        <f t="shared" si="0"/>
        <v>0.928</v>
      </c>
    </row>
    <row r="24" spans="1:6">
      <c r="A24">
        <v>2009</v>
      </c>
      <c r="B24">
        <v>81</v>
      </c>
      <c r="C24">
        <v>11</v>
      </c>
      <c r="D24">
        <v>17</v>
      </c>
      <c r="E24">
        <v>53</v>
      </c>
      <c r="F24">
        <f t="shared" si="0"/>
        <v>0.864197530864198</v>
      </c>
    </row>
    <row r="25" spans="1:6">
      <c r="A25">
        <v>2010</v>
      </c>
      <c r="B25">
        <v>79</v>
      </c>
      <c r="C25">
        <v>13</v>
      </c>
      <c r="D25">
        <v>15</v>
      </c>
      <c r="E25">
        <v>51</v>
      </c>
      <c r="F25">
        <f t="shared" si="0"/>
        <v>0.835443037974684</v>
      </c>
    </row>
    <row r="26" spans="1:6">
      <c r="A26">
        <v>2011</v>
      </c>
      <c r="B26">
        <v>127</v>
      </c>
      <c r="C26">
        <v>35</v>
      </c>
      <c r="D26">
        <v>25</v>
      </c>
      <c r="E26">
        <v>67</v>
      </c>
      <c r="F26">
        <f t="shared" si="0"/>
        <v>0.724409448818898</v>
      </c>
    </row>
    <row r="27" spans="1:6">
      <c r="A27">
        <v>2012</v>
      </c>
      <c r="B27">
        <v>111</v>
      </c>
      <c r="C27">
        <v>32</v>
      </c>
      <c r="D27">
        <v>21</v>
      </c>
      <c r="E27">
        <v>58</v>
      </c>
      <c r="F27">
        <f t="shared" si="0"/>
        <v>0.711711711711712</v>
      </c>
    </row>
    <row r="28" spans="1:6">
      <c r="A28">
        <v>2013</v>
      </c>
      <c r="B28">
        <v>107</v>
      </c>
      <c r="C28">
        <v>11</v>
      </c>
      <c r="D28">
        <v>24</v>
      </c>
      <c r="E28">
        <v>72</v>
      </c>
      <c r="F28">
        <f t="shared" si="0"/>
        <v>0.897196261682243</v>
      </c>
    </row>
    <row r="29" spans="1:6">
      <c r="A29">
        <v>2014</v>
      </c>
      <c r="B29">
        <v>84</v>
      </c>
      <c r="C29">
        <v>14</v>
      </c>
      <c r="D29">
        <v>17</v>
      </c>
      <c r="E29">
        <v>53</v>
      </c>
      <c r="F29">
        <f t="shared" si="0"/>
        <v>0.833333333333333</v>
      </c>
    </row>
    <row r="30" spans="1:6">
      <c r="A30">
        <v>2015</v>
      </c>
      <c r="B30">
        <v>71</v>
      </c>
      <c r="C30">
        <v>2</v>
      </c>
      <c r="D30">
        <v>15</v>
      </c>
      <c r="E30">
        <v>54</v>
      </c>
      <c r="F30">
        <f t="shared" si="0"/>
        <v>0.971830985915493</v>
      </c>
    </row>
    <row r="31" spans="1:6">
      <c r="A31">
        <v>2016</v>
      </c>
      <c r="B31">
        <v>115</v>
      </c>
      <c r="C31">
        <v>53</v>
      </c>
      <c r="D31">
        <v>14</v>
      </c>
      <c r="E31">
        <v>48</v>
      </c>
      <c r="F31">
        <f t="shared" si="0"/>
        <v>0.539130434782609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wsp</dc:creator>
  <cp:lastModifiedBy>龚子哥18221927665</cp:lastModifiedBy>
  <dcterms:created xsi:type="dcterms:W3CDTF">2021-09-13T19:13:00Z</dcterms:created>
  <dcterms:modified xsi:type="dcterms:W3CDTF">2026-01-25T20:20:12Z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CE1DCD02AA59B3237C0A7669A3C4DBD6_43</vt:lpwstr>
  </property>
  <property fmtid="{D5CDD505-2E9C-101B-9397-08002B2CF9AE}" pid="3" name="KSOProductBuildVer">
    <vt:lpwstr>2052-6.5.2.8766</vt:lpwstr>
  </property>
</Properties>
</file>